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Pharma/data/"/>
    </mc:Choice>
  </mc:AlternateContent>
  <xr:revisionPtr revIDLastSave="69" documentId="8_{3D5B90C2-5B50-45D4-9A98-A1A193031E0E}" xr6:coauthVersionLast="47" xr6:coauthVersionMax="47" xr10:uidLastSave="{C5E09919-12C3-41BC-B183-CE0378BBF186}"/>
  <bookViews>
    <workbookView xWindow="-110" yWindow="-110" windowWidth="25180" windowHeight="16860" activeTab="2" xr2:uid="{FCC25AD9-9076-4FCD-A086-0E3A82E1FE1A}"/>
  </bookViews>
  <sheets>
    <sheet name="Tees" sheetId="1" r:id="rId1"/>
    <sheet name="Conc. Reducers" sheetId="2" r:id="rId2"/>
    <sheet name="Ecc. Reduc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D26" i="2"/>
</calcChain>
</file>

<file path=xl/sharedStrings.xml><?xml version="1.0" encoding="utf-8"?>
<sst xmlns="http://schemas.openxmlformats.org/spreadsheetml/2006/main" count="471" uniqueCount="243">
  <si>
    <t xml:space="preserve"> ASME BPE SF1 (BF) Code</t>
  </si>
  <si>
    <t xml:space="preserve"> ASME BPE SF1 (BF) Price in € / m</t>
  </si>
  <si>
    <t xml:space="preserve"> ASME BPE SF4 (BF) Code</t>
  </si>
  <si>
    <t xml:space="preserve"> ASME BPE SF4 (BF) Price in € / m</t>
  </si>
  <si>
    <t>1/4"</t>
  </si>
  <si>
    <t>3/8"</t>
  </si>
  <si>
    <t>1/2"</t>
  </si>
  <si>
    <t>3/4"</t>
  </si>
  <si>
    <t>1"</t>
  </si>
  <si>
    <t>1 1/2"</t>
  </si>
  <si>
    <t>2"</t>
  </si>
  <si>
    <t>2 1/2"</t>
  </si>
  <si>
    <t>3"</t>
  </si>
  <si>
    <t>4"</t>
  </si>
  <si>
    <t>6"</t>
  </si>
  <si>
    <r>
      <t>DT-4-1.</t>
    </r>
    <r>
      <rPr>
        <b/>
        <sz val="14"/>
        <rFont val="Grandview"/>
        <family val="2"/>
      </rPr>
      <t>2-1</t>
    </r>
    <r>
      <rPr>
        <b/>
        <sz val="14"/>
        <color indexed="23"/>
        <rFont val="Grandview"/>
        <family val="2"/>
      </rPr>
      <t xml:space="preserve">   Automatic Tube Weld: Straight Tee</t>
    </r>
  </si>
  <si>
    <t>SF1-TE-04-2-1</t>
  </si>
  <si>
    <t>SF4-TE-04-2-1</t>
  </si>
  <si>
    <t>SF1-TE-06-2-1</t>
  </si>
  <si>
    <t>SF4-TE-06-2-1</t>
  </si>
  <si>
    <t>SF1-TE-08-2-1</t>
  </si>
  <si>
    <t>SF4-TE-08-2-1</t>
  </si>
  <si>
    <t>SF1-TE-12-2-1</t>
  </si>
  <si>
    <t>SF4-TE-12-2-1</t>
  </si>
  <si>
    <t>SF1-TE-16-2-1</t>
  </si>
  <si>
    <t>SF4-TE-16-2-1</t>
  </si>
  <si>
    <t>SF1-TE-24-2-1</t>
  </si>
  <si>
    <t>SF4-TE-24-2-1</t>
  </si>
  <si>
    <t>SF1-TE-32-2-1</t>
  </si>
  <si>
    <t>SF4-TE-32-2-1</t>
  </si>
  <si>
    <t>SF1-TE-40-2-1</t>
  </si>
  <si>
    <t>SF4-TE-40-2-1</t>
  </si>
  <si>
    <t>SF1-TE-48-2-1</t>
  </si>
  <si>
    <t>SF4-TE-48-2-1</t>
  </si>
  <si>
    <t>SF1-TE-64-2-1</t>
  </si>
  <si>
    <t>SF4-TE-64-2-1</t>
  </si>
  <si>
    <t>SF1-TE-96-2-1</t>
  </si>
  <si>
    <t>SF4-TE-96-2-1</t>
  </si>
  <si>
    <t>Inch OD1</t>
  </si>
  <si>
    <t>mm OD1</t>
  </si>
  <si>
    <t>Inch OD2</t>
  </si>
  <si>
    <t>mm OD2</t>
  </si>
  <si>
    <t>SF1-TR-06-04-2-6</t>
  </si>
  <si>
    <t>SF4-TR-06-04-2-6</t>
  </si>
  <si>
    <t>SF1-TR-08-04-2-6</t>
  </si>
  <si>
    <t>SF4-TR-08-04-2-6</t>
  </si>
  <si>
    <t>SF1-TR-08-06-2-6</t>
  </si>
  <si>
    <t>SF4-TR-08-06-2-6</t>
  </si>
  <si>
    <t>SF1-TR-12-04-2-6</t>
  </si>
  <si>
    <t>SF4-TR-12-04-2-6</t>
  </si>
  <si>
    <t>SF1-TR-12-06-2-6</t>
  </si>
  <si>
    <t>SF4-TR-12-06-2-6</t>
  </si>
  <si>
    <t>SF1-TR-12-08-2-6</t>
  </si>
  <si>
    <t>SF4-TR-12-08-2-6</t>
  </si>
  <si>
    <t>SF1-TR-16-04-2-6</t>
  </si>
  <si>
    <t>SF4-TR-16-04-2-6</t>
  </si>
  <si>
    <t>SF1-TR-16-06-2-6</t>
  </si>
  <si>
    <t>SF4-TR-16-06-2-6</t>
  </si>
  <si>
    <t>SF1-TR-16-08-2-6</t>
  </si>
  <si>
    <t>SF4-TR-16-08-2-6</t>
  </si>
  <si>
    <t>SF1-TR-16-12-2-6</t>
  </si>
  <si>
    <t>SF4-TR-16-12-2-6</t>
  </si>
  <si>
    <t>SF1-TR-24-08-2-6</t>
  </si>
  <si>
    <t>SF4-TR-24-08-2-6</t>
  </si>
  <si>
    <t>SF1-TR-24-12-2-6</t>
  </si>
  <si>
    <t>SF4-TR-24-12-2-6</t>
  </si>
  <si>
    <t>SF1-TR-24-16-2-6</t>
  </si>
  <si>
    <t>SF4-TR-24-16-2-6</t>
  </si>
  <si>
    <t>SF1-TR-32-08-2-6</t>
  </si>
  <si>
    <t>SF4-TR-32-08-2-6</t>
  </si>
  <si>
    <t>SF1-TR-32-12-2-6</t>
  </si>
  <si>
    <t>SF4-TR-32-12-2-6</t>
  </si>
  <si>
    <t>SF1-TR-32-16-2-6</t>
  </si>
  <si>
    <t>SF4-TR-32-16-2-6</t>
  </si>
  <si>
    <t>SF1-TR-32-24-2-6</t>
  </si>
  <si>
    <t>SF4-TR-32-24-2-6</t>
  </si>
  <si>
    <t>SF1-TR-40-08-2-6</t>
  </si>
  <si>
    <t>SF4-TR-40-08-2-6</t>
  </si>
  <si>
    <t>SF1-TR-40-12-2-6</t>
  </si>
  <si>
    <t>SF4-TR-40-12-2-6</t>
  </si>
  <si>
    <t>SF1-TR-40-16-2-6</t>
  </si>
  <si>
    <t>SF4-TR-40-16-2-6</t>
  </si>
  <si>
    <t>SF1-TR-40-24-2-6</t>
  </si>
  <si>
    <t>SF4-TR-40-24-2-6</t>
  </si>
  <si>
    <t>SF1-TR-40-32-2-6</t>
  </si>
  <si>
    <t>SF4-TR-40-32-2-6</t>
  </si>
  <si>
    <t>SF1-TR-48-08-2-6</t>
  </si>
  <si>
    <t>SF4-TR-48-08-2-6</t>
  </si>
  <si>
    <t>SF1-TR-48-12-2-6</t>
  </si>
  <si>
    <t>SF4-TR-48-12-2-6</t>
  </si>
  <si>
    <t>SF1-TR-48-16-2-6</t>
  </si>
  <si>
    <t>SF4-TR-48-16-2-6</t>
  </si>
  <si>
    <t>SF1-TR-48-24-2-6</t>
  </si>
  <si>
    <t>SF4-TR-48-24-2-6</t>
  </si>
  <si>
    <t>SF1-TR-48-32-2-6</t>
  </si>
  <si>
    <t>SF4-TR-48-32-2-6</t>
  </si>
  <si>
    <t>SF1-TR-48-40-2-6</t>
  </si>
  <si>
    <t>SF4-TR-48-40-2-6</t>
  </si>
  <si>
    <t>SF1-TR-64-08-2-6</t>
  </si>
  <si>
    <t>SF4-TR-64-08-2-6</t>
  </si>
  <si>
    <t>SF1-TR-64-12-2-6</t>
  </si>
  <si>
    <t>SF4-TR-64-12-2-6</t>
  </si>
  <si>
    <t>SF1-TR-64-16-2-6</t>
  </si>
  <si>
    <t>SF4-TR-64-16-2-6</t>
  </si>
  <si>
    <t>SF1-TR-64-24-2-6</t>
  </si>
  <si>
    <t>SF4-TR-64-24-2-6</t>
  </si>
  <si>
    <t>SF1-TR-64-32-2-6</t>
  </si>
  <si>
    <t>SF4-TR-64-32-2-6</t>
  </si>
  <si>
    <t>SF1-TR-64-40-2-6</t>
  </si>
  <si>
    <t>SF4-TR-64-40-2-6</t>
  </si>
  <si>
    <t>SF1-TR-64-48-2-6</t>
  </si>
  <si>
    <t>SF4-TR-64-48-2-6</t>
  </si>
  <si>
    <t>SF1-TR-96-48-2-6</t>
  </si>
  <si>
    <t>SF4-TR-96-48-2-6</t>
  </si>
  <si>
    <t>SF1-TR-96-64-2-6</t>
  </si>
  <si>
    <t>SF4-TR-96-64-2-6</t>
  </si>
  <si>
    <t xml:space="preserve"> 1/4"</t>
  </si>
  <si>
    <t xml:space="preserve">3/8" </t>
  </si>
  <si>
    <t xml:space="preserve">1/2" </t>
  </si>
  <si>
    <t xml:space="preserve"> 3/8"</t>
  </si>
  <si>
    <t xml:space="preserve">3/4" </t>
  </si>
  <si>
    <t xml:space="preserve"> 1/2"</t>
  </si>
  <si>
    <t xml:space="preserve">1" </t>
  </si>
  <si>
    <t xml:space="preserve"> 3/4"</t>
  </si>
  <si>
    <t xml:space="preserve">1 1/2" </t>
  </si>
  <si>
    <t xml:space="preserve"> 1"</t>
  </si>
  <si>
    <t xml:space="preserve">2" </t>
  </si>
  <si>
    <t xml:space="preserve"> 11/2"</t>
  </si>
  <si>
    <t xml:space="preserve">2 1/2" </t>
  </si>
  <si>
    <t xml:space="preserve"> 1 1/2"</t>
  </si>
  <si>
    <t xml:space="preserve"> 2"</t>
  </si>
  <si>
    <t xml:space="preserve">3" </t>
  </si>
  <si>
    <t xml:space="preserve"> 2 1/2"</t>
  </si>
  <si>
    <t xml:space="preserve">4" </t>
  </si>
  <si>
    <t xml:space="preserve"> 3"</t>
  </si>
  <si>
    <t xml:space="preserve">6" </t>
  </si>
  <si>
    <t xml:space="preserve"> 4"</t>
  </si>
  <si>
    <r>
      <t>DT-4.1.</t>
    </r>
    <r>
      <rPr>
        <b/>
        <sz val="14"/>
        <rFont val="Grandview"/>
        <family val="2"/>
      </rPr>
      <t>3-1</t>
    </r>
    <r>
      <rPr>
        <b/>
        <sz val="14"/>
        <color indexed="23"/>
        <rFont val="Grandview"/>
        <family val="2"/>
      </rPr>
      <t xml:space="preserve"> Automatic Tube Weld: Concentric Reducer</t>
    </r>
  </si>
  <si>
    <t>SF1-RC-06-04-3-1</t>
  </si>
  <si>
    <t>SF4-RC-06-04-3-1</t>
  </si>
  <si>
    <t>SF1-RC-08-04-3-1</t>
  </si>
  <si>
    <t>SF4-RC-08-04-3-1</t>
  </si>
  <si>
    <t>SF1-RC-08-06-3-1</t>
  </si>
  <si>
    <t>SF4-RC-08-06-3-1</t>
  </si>
  <si>
    <t>SF1-RC-12-06-3-1</t>
  </si>
  <si>
    <t>SF4-RC-12-06-3-1</t>
  </si>
  <si>
    <t>SF1-RC-12-08-3-1</t>
  </si>
  <si>
    <t>SF4-RC-12-08-3-1</t>
  </si>
  <si>
    <t>SF1-RC-16-08-3-1</t>
  </si>
  <si>
    <t>SF4-RC-16-08-3-1</t>
  </si>
  <si>
    <t>SF1-RC-16-12-3-1</t>
  </si>
  <si>
    <t>SF4-RC-16-12-3-1</t>
  </si>
  <si>
    <t>SF1-RC-24-12-3-1</t>
  </si>
  <si>
    <t>SF4-RC-24-12-3-1</t>
  </si>
  <si>
    <t>SF1-RC-24-16-3-1</t>
  </si>
  <si>
    <t>SF4-RC-24-16-3-1</t>
  </si>
  <si>
    <t>SF1-RC-32-16-3-1</t>
  </si>
  <si>
    <t>SF4-RC-32-16-3-1</t>
  </si>
  <si>
    <t>SF1-RC-32-24-3-1</t>
  </si>
  <si>
    <t>SF4-RC-32-24-3-1</t>
  </si>
  <si>
    <t>SF1-RC-40-24-3-1</t>
  </si>
  <si>
    <t>SF4-RC-40-24-3-1</t>
  </si>
  <si>
    <t>SF1-RC-40-32-3-1</t>
  </si>
  <si>
    <t>SF4-RC-40-32-3-1</t>
  </si>
  <si>
    <t>SF1-RC-48-24-3-1</t>
  </si>
  <si>
    <t>SF4-RC-48-24-3-1</t>
  </si>
  <si>
    <t>SF1-RC-48-32-3-1</t>
  </si>
  <si>
    <t>SF4-RC-48-32-3-1</t>
  </si>
  <si>
    <t>SF1-RC-48-40-3-1</t>
  </si>
  <si>
    <t>SF4-RC-48-40-3-1</t>
  </si>
  <si>
    <t>SF1-RC-64-32-3-1</t>
  </si>
  <si>
    <t>SF4-RC-64-32-3-1</t>
  </si>
  <si>
    <t>SF1-RC-64-40-3-1</t>
  </si>
  <si>
    <t>SF4-RC-64-40-3-1</t>
  </si>
  <si>
    <t>SF1-RC-64-48-3-1</t>
  </si>
  <si>
    <t>SF4-RC-64-48-3-1</t>
  </si>
  <si>
    <t>SF1-RC-96-48-3-1</t>
  </si>
  <si>
    <t>SF4-RC-96-48-3-1</t>
  </si>
  <si>
    <t>SF1-RC-96-64-3-1</t>
  </si>
  <si>
    <t>SF4-RC-96-64-3-1</t>
  </si>
  <si>
    <t xml:space="preserve"> 6.35</t>
  </si>
  <si>
    <t xml:space="preserve">9.53 </t>
  </si>
  <si>
    <t xml:space="preserve">12.70 </t>
  </si>
  <si>
    <t xml:space="preserve"> 9.53</t>
  </si>
  <si>
    <t xml:space="preserve">19.05 </t>
  </si>
  <si>
    <t xml:space="preserve"> 12.70</t>
  </si>
  <si>
    <t xml:space="preserve">25.40 </t>
  </si>
  <si>
    <t xml:space="preserve"> 19.05</t>
  </si>
  <si>
    <t xml:space="preserve">38.10 </t>
  </si>
  <si>
    <t xml:space="preserve"> 25.40</t>
  </si>
  <si>
    <t xml:space="preserve">50.80 </t>
  </si>
  <si>
    <t xml:space="preserve"> 38.10</t>
  </si>
  <si>
    <t xml:space="preserve">63.50 </t>
  </si>
  <si>
    <t xml:space="preserve"> 50.80</t>
  </si>
  <si>
    <t xml:space="preserve">76.20 </t>
  </si>
  <si>
    <t xml:space="preserve"> 63.50</t>
  </si>
  <si>
    <t xml:space="preserve">101.60 </t>
  </si>
  <si>
    <t xml:space="preserve"> 76.20</t>
  </si>
  <si>
    <t xml:space="preserve">152.40 </t>
  </si>
  <si>
    <t xml:space="preserve"> 101.60</t>
  </si>
  <si>
    <r>
      <t>DT-4.1.</t>
    </r>
    <r>
      <rPr>
        <b/>
        <sz val="14"/>
        <rFont val="Grandview"/>
        <family val="2"/>
      </rPr>
      <t>3-1</t>
    </r>
    <r>
      <rPr>
        <b/>
        <sz val="14"/>
        <color indexed="23"/>
        <rFont val="Grandview"/>
        <family val="2"/>
      </rPr>
      <t xml:space="preserve"> Automatic Tube Weld: Eccentric Reducer</t>
    </r>
  </si>
  <si>
    <t>SF1-RE-06-04-3-1</t>
  </si>
  <si>
    <t>SF4-RE-06-04-3-1</t>
  </si>
  <si>
    <t>SF1-RE-08-04-3-1</t>
  </si>
  <si>
    <t>SF4-RE-08-04-3-1</t>
  </si>
  <si>
    <t>SF1-RE-08-06-3-1</t>
  </si>
  <si>
    <t>SF4-RE-08-06-3-1</t>
  </si>
  <si>
    <t>SF1-RE-12-06-3-1</t>
  </si>
  <si>
    <t>SF4-RE-12-06-3-1</t>
  </si>
  <si>
    <t>SF1-RE-12-08-3-1</t>
  </si>
  <si>
    <t>SF4-RE-12-08-3-1</t>
  </si>
  <si>
    <t>SF1-RE-16-08-3-1</t>
  </si>
  <si>
    <t>SF4-RE-16-08-3-1</t>
  </si>
  <si>
    <t>SF1-RE-16-12-3-1</t>
  </si>
  <si>
    <t>SF4-RE-16-12-3-1</t>
  </si>
  <si>
    <t>SF1-RE-24-12-3-1</t>
  </si>
  <si>
    <t>SF4-RE-24-12-3-1</t>
  </si>
  <si>
    <t>SF1-RE-24-16-3-1</t>
  </si>
  <si>
    <t>SF4-RE-24-16-3-1</t>
  </si>
  <si>
    <t>SF1-RE-32-16-3-1</t>
  </si>
  <si>
    <t>SF4-RE-32-16-3-1</t>
  </si>
  <si>
    <t>SF1-RE-32-24-3-1</t>
  </si>
  <si>
    <t>SF4-RE-32-24-3-1</t>
  </si>
  <si>
    <t>SF1-RE-40-24-3-1</t>
  </si>
  <si>
    <t>SF4-RE-40-24-3-1</t>
  </si>
  <si>
    <t>SF1-RE-40-32-3-1</t>
  </si>
  <si>
    <t>SF4-RE-40-32-3-1</t>
  </si>
  <si>
    <t>SF1-RE-48-24-3-1</t>
  </si>
  <si>
    <t>SF4-RE-48-24-3-1</t>
  </si>
  <si>
    <t>SF1-RE-48-32-3-1</t>
  </si>
  <si>
    <t>SF4-RE-48-32-3-1</t>
  </si>
  <si>
    <t>SF1-RE-48-40-3-1</t>
  </si>
  <si>
    <t>SF4-RE-48-40-3-1</t>
  </si>
  <si>
    <t>SF1-RE-64-32-3-1</t>
  </si>
  <si>
    <t>SF4-RE-64-32-3-1</t>
  </si>
  <si>
    <t>SF1-RE-64-40-3-1</t>
  </si>
  <si>
    <t>SF4-RE-64-40-3-1</t>
  </si>
  <si>
    <t>SF1-RE-64-48-3-1</t>
  </si>
  <si>
    <t>SF4-RE-64-48-3-1</t>
  </si>
  <si>
    <t>SF1-RE-96-48-3-1</t>
  </si>
  <si>
    <t>SF4-RE-96-48-3-1</t>
  </si>
  <si>
    <t>SF1-RE-96-64-3-1</t>
  </si>
  <si>
    <t>SF4-RE-96-64-3-1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</si>
</sst>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name val="Grandview"/>
      <family val="2"/>
    </font>
    <font>
      <b/>
      <sz val="14"/>
      <color indexed="23"/>
      <name val="Grandview"/>
      <family val="2"/>
    </font>
    <font>
      <b/>
      <sz val="13"/>
      <name val="Grandview"/>
      <family val="2"/>
    </font>
    <font>
      <b/>
      <sz val="10"/>
      <name val="Grandview"/>
      <family val="2"/>
    </font>
    <font>
      <sz val="10"/>
      <name val="Grandview"/>
      <family val="2"/>
    </font>
    <font>
      <sz val="10"/>
      <color indexed="8"/>
      <name val="Grandview"/>
      <family val="2"/>
    </font>
    <font>
      <sz val="11"/>
      <color indexed="8"/>
      <name val="Calibri"/>
      <family val="2"/>
    </font>
    <font>
      <sz val="11"/>
      <color indexed="8"/>
      <name val="Grandview"/>
      <family val="2"/>
    </font>
    <font>
      <b/>
      <sz val="7"/>
      <color rgb="FF0A0A0A"/>
      <name val="Arial Unicode MS"/>
      <family val="2"/>
    </font>
    <font>
      <sz val="20"/>
      <name val="Grandvi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29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7" fillId="0" borderId="0" applyFill="0" applyBorder="0" applyAlignment="0" applyProtection="0"/>
  </cellStyleXfs>
  <cellXfs count="25">
    <xf numFmtId="0" fontId="0" fillId="0" borderId="0" xfId="0"/>
    <xf numFmtId="0" fontId="4" fillId="3" borderId="3" xfId="0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/>
    <xf numFmtId="0" fontId="8" fillId="0" borderId="12" xfId="0" applyFont="1" applyBorder="1"/>
    <xf numFmtId="0" fontId="8" fillId="0" borderId="5" xfId="0" applyFont="1" applyBorder="1"/>
    <xf numFmtId="2" fontId="5" fillId="0" borderId="12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5" fillId="0" borderId="8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9" fillId="0" borderId="0" xfId="0" applyFont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10" fillId="2" borderId="11" xfId="0" applyFont="1" applyFill="1" applyBorder="1"/>
    <xf numFmtId="0" fontId="10" fillId="2" borderId="11" xfId="0" applyFont="1" applyFill="1" applyBorder="1" applyAlignment="1">
      <alignment horizontal="right" indent="1"/>
    </xf>
  </cellXfs>
  <cellStyles count="2">
    <cellStyle name="Normale" xfId="0" builtinId="0"/>
    <cellStyle name="Standard_KALKULATION_rohr" xfId="1" xr:uid="{5354A8FA-A1CA-4A3C-A74F-1463C642E02F}"/>
  </cellStyles>
  <dxfs count="6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4CD8-8D24-4E94-A6A6-43DDFCEC2D4A}">
  <dimension ref="A1:I50"/>
  <sheetViews>
    <sheetView workbookViewId="0">
      <selection sqref="A1:I1048576"/>
    </sheetView>
  </sheetViews>
  <sheetFormatPr defaultRowHeight="14.5" x14ac:dyDescent="0.35"/>
  <cols>
    <col min="1" max="1" width="16" customWidth="1"/>
    <col min="2" max="2" width="13.1796875" customWidth="1"/>
    <col min="3" max="3" width="9.54296875" customWidth="1"/>
    <col min="4" max="5" width="13" customWidth="1"/>
    <col min="6" max="6" width="33.6328125" style="12" customWidth="1"/>
    <col min="7" max="7" width="36.90625" style="12" customWidth="1"/>
    <col min="8" max="8" width="34" style="12" customWidth="1"/>
    <col min="9" max="9" width="43" style="12" customWidth="1"/>
    <col min="10" max="10" width="21.1796875" customWidth="1"/>
  </cols>
  <sheetData>
    <row r="1" spans="1:9" ht="17.5" x14ac:dyDescent="0.35">
      <c r="A1" s="4" t="s">
        <v>15</v>
      </c>
      <c r="B1" s="5"/>
      <c r="C1" s="5"/>
      <c r="D1" s="5"/>
      <c r="E1" s="18"/>
      <c r="F1" s="19"/>
      <c r="G1" s="20"/>
      <c r="H1" s="20"/>
      <c r="I1" s="21"/>
    </row>
    <row r="2" spans="1:9" ht="15" thickBot="1" x14ac:dyDescent="0.4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 t="s">
        <v>0</v>
      </c>
      <c r="G2" s="2" t="s">
        <v>1</v>
      </c>
      <c r="H2" s="1" t="s">
        <v>2</v>
      </c>
      <c r="I2" s="2" t="s">
        <v>3</v>
      </c>
    </row>
    <row r="3" spans="1:9" s="12" customFormat="1" x14ac:dyDescent="0.35">
      <c r="A3" s="9" t="s">
        <v>4</v>
      </c>
      <c r="B3" s="8">
        <v>6.35</v>
      </c>
      <c r="C3" s="9" t="s">
        <v>4</v>
      </c>
      <c r="D3" s="8">
        <v>6.35</v>
      </c>
      <c r="E3" s="8"/>
      <c r="F3" s="9" t="s">
        <v>16</v>
      </c>
      <c r="G3" s="10">
        <v>52.084267662346925</v>
      </c>
      <c r="H3" s="9" t="s">
        <v>17</v>
      </c>
      <c r="I3" s="10">
        <v>83.562589032762844</v>
      </c>
    </row>
    <row r="4" spans="1:9" s="12" customFormat="1" x14ac:dyDescent="0.35">
      <c r="A4" s="9" t="s">
        <v>116</v>
      </c>
      <c r="B4" s="3">
        <v>6.35</v>
      </c>
      <c r="C4" s="9" t="s">
        <v>117</v>
      </c>
      <c r="D4" s="3">
        <v>9.5299999999999994</v>
      </c>
      <c r="E4" s="7"/>
      <c r="F4" s="13" t="s">
        <v>42</v>
      </c>
      <c r="G4" s="14">
        <v>52.68007067098776</v>
      </c>
      <c r="H4" s="13" t="s">
        <v>43</v>
      </c>
      <c r="I4" s="14">
        <v>84.200146934843929</v>
      </c>
    </row>
    <row r="5" spans="1:9" s="12" customFormat="1" x14ac:dyDescent="0.35">
      <c r="A5" s="9" t="s">
        <v>116</v>
      </c>
      <c r="B5" s="3">
        <v>6.35</v>
      </c>
      <c r="C5" s="9" t="s">
        <v>118</v>
      </c>
      <c r="D5" s="3">
        <v>12.7</v>
      </c>
      <c r="E5" s="7"/>
      <c r="F5" s="13" t="s">
        <v>44</v>
      </c>
      <c r="G5" s="14">
        <v>56.185609303223387</v>
      </c>
      <c r="H5" s="13" t="s">
        <v>45</v>
      </c>
      <c r="I5" s="14">
        <v>87.671295512841027</v>
      </c>
    </row>
    <row r="6" spans="1:9" x14ac:dyDescent="0.35">
      <c r="A6" s="9" t="s">
        <v>116</v>
      </c>
      <c r="B6" s="3">
        <v>6.35</v>
      </c>
      <c r="C6" s="9" t="s">
        <v>120</v>
      </c>
      <c r="D6" s="3">
        <v>19.05</v>
      </c>
      <c r="E6" s="7"/>
      <c r="F6" s="16" t="s">
        <v>48</v>
      </c>
      <c r="G6" s="14">
        <v>62.919568889257071</v>
      </c>
      <c r="H6" s="16" t="s">
        <v>49</v>
      </c>
      <c r="I6" s="14">
        <v>99.827399512520657</v>
      </c>
    </row>
    <row r="7" spans="1:9" x14ac:dyDescent="0.35">
      <c r="A7" s="9" t="s">
        <v>116</v>
      </c>
      <c r="B7" s="3">
        <v>6.35</v>
      </c>
      <c r="C7" s="9" t="s">
        <v>122</v>
      </c>
      <c r="D7" s="3">
        <v>25.4</v>
      </c>
      <c r="E7" s="7"/>
      <c r="F7" s="16" t="s">
        <v>54</v>
      </c>
      <c r="G7" s="14">
        <v>64.291301397523185</v>
      </c>
      <c r="H7" s="16" t="s">
        <v>55</v>
      </c>
      <c r="I7" s="14">
        <v>99.728223838863599</v>
      </c>
    </row>
    <row r="8" spans="1:9" x14ac:dyDescent="0.35">
      <c r="A8" s="9" t="s">
        <v>5</v>
      </c>
      <c r="B8" s="3">
        <v>9.5299999999999994</v>
      </c>
      <c r="C8" s="9" t="s">
        <v>5</v>
      </c>
      <c r="D8" s="3">
        <v>9.5299999999999994</v>
      </c>
      <c r="E8" s="3"/>
      <c r="F8" s="13" t="s">
        <v>18</v>
      </c>
      <c r="G8" s="14">
        <v>60.882753952740714</v>
      </c>
      <c r="H8" s="13" t="s">
        <v>19</v>
      </c>
      <c r="I8" s="14">
        <v>92.290048314584112</v>
      </c>
    </row>
    <row r="9" spans="1:9" x14ac:dyDescent="0.35">
      <c r="A9" s="9" t="s">
        <v>119</v>
      </c>
      <c r="B9" s="3">
        <v>9.5299999999999994</v>
      </c>
      <c r="C9" s="9" t="s">
        <v>118</v>
      </c>
      <c r="D9" s="3">
        <v>12.7</v>
      </c>
      <c r="E9" s="7"/>
      <c r="F9" s="16" t="s">
        <v>46</v>
      </c>
      <c r="G9" s="14">
        <v>56.961538802848672</v>
      </c>
      <c r="H9" s="16" t="s">
        <v>47</v>
      </c>
      <c r="I9" s="14">
        <v>88.464700902097505</v>
      </c>
    </row>
    <row r="10" spans="1:9" x14ac:dyDescent="0.35">
      <c r="A10" s="9" t="s">
        <v>119</v>
      </c>
      <c r="B10" s="3">
        <v>9.5299999999999994</v>
      </c>
      <c r="C10" s="9" t="s">
        <v>120</v>
      </c>
      <c r="D10" s="3">
        <v>19.05</v>
      </c>
      <c r="E10" s="7"/>
      <c r="F10" s="16" t="s">
        <v>50</v>
      </c>
      <c r="G10" s="14">
        <v>63.723210156726111</v>
      </c>
      <c r="H10" s="16" t="s">
        <v>51</v>
      </c>
      <c r="I10" s="14">
        <v>100.62080490177713</v>
      </c>
    </row>
    <row r="11" spans="1:9" x14ac:dyDescent="0.35">
      <c r="A11" s="9" t="s">
        <v>119</v>
      </c>
      <c r="B11" s="8">
        <v>9.5299999999999994</v>
      </c>
      <c r="C11" s="9" t="s">
        <v>122</v>
      </c>
      <c r="D11" s="8">
        <v>25.4</v>
      </c>
      <c r="E11" s="6"/>
      <c r="F11" s="9" t="s">
        <v>56</v>
      </c>
      <c r="G11" s="10">
        <v>65.039519129304708</v>
      </c>
      <c r="H11" s="9" t="s">
        <v>57</v>
      </c>
      <c r="I11" s="10">
        <v>100.53579718149967</v>
      </c>
    </row>
    <row r="12" spans="1:9" x14ac:dyDescent="0.35">
      <c r="A12" s="9" t="s">
        <v>6</v>
      </c>
      <c r="B12" s="8">
        <v>12.7</v>
      </c>
      <c r="C12" s="9" t="s">
        <v>6</v>
      </c>
      <c r="D12" s="8">
        <v>12.7</v>
      </c>
      <c r="E12" s="8"/>
      <c r="F12" s="22" t="s">
        <v>20</v>
      </c>
      <c r="G12" s="10">
        <v>42.172715169185423</v>
      </c>
      <c r="H12" s="22" t="s">
        <v>21</v>
      </c>
      <c r="I12" s="10">
        <v>59.693593583562539</v>
      </c>
    </row>
    <row r="13" spans="1:9" x14ac:dyDescent="0.35">
      <c r="A13" s="9" t="s">
        <v>121</v>
      </c>
      <c r="B13" s="8">
        <v>12.7</v>
      </c>
      <c r="C13" s="9" t="s">
        <v>120</v>
      </c>
      <c r="D13" s="8">
        <v>19.05</v>
      </c>
      <c r="E13" s="6"/>
      <c r="F13" s="22" t="s">
        <v>52</v>
      </c>
      <c r="G13" s="10">
        <v>51.574925369378619</v>
      </c>
      <c r="H13" s="22" t="s">
        <v>53</v>
      </c>
      <c r="I13" s="10">
        <v>73.279828500744784</v>
      </c>
    </row>
    <row r="14" spans="1:9" x14ac:dyDescent="0.35">
      <c r="A14" s="9" t="s">
        <v>121</v>
      </c>
      <c r="B14" s="9">
        <v>12.7</v>
      </c>
      <c r="C14" s="9" t="s">
        <v>122</v>
      </c>
      <c r="D14" s="9">
        <v>25.4</v>
      </c>
      <c r="E14" s="6"/>
      <c r="F14" s="9" t="s">
        <v>58</v>
      </c>
      <c r="G14" s="10">
        <v>49.746132992295514</v>
      </c>
      <c r="H14" s="9" t="s">
        <v>59</v>
      </c>
      <c r="I14" s="11">
        <v>74.403965000343959</v>
      </c>
    </row>
    <row r="15" spans="1:9" x14ac:dyDescent="0.35">
      <c r="A15" s="9" t="s">
        <v>121</v>
      </c>
      <c r="B15" s="9">
        <v>12.7</v>
      </c>
      <c r="C15" s="9" t="s">
        <v>124</v>
      </c>
      <c r="D15" s="9">
        <v>38.1</v>
      </c>
      <c r="E15" s="7"/>
      <c r="F15" s="13" t="s">
        <v>62</v>
      </c>
      <c r="G15" s="14">
        <v>60.179308073433901</v>
      </c>
      <c r="H15" s="13" t="s">
        <v>63</v>
      </c>
      <c r="I15" s="15">
        <v>89.201212196482317</v>
      </c>
    </row>
    <row r="16" spans="1:9" x14ac:dyDescent="0.35">
      <c r="A16" s="9" t="s">
        <v>121</v>
      </c>
      <c r="B16" s="9">
        <v>12.7</v>
      </c>
      <c r="C16" s="9" t="s">
        <v>126</v>
      </c>
      <c r="D16" s="9">
        <v>50.8</v>
      </c>
      <c r="E16" s="7"/>
      <c r="F16" s="16" t="s">
        <v>68</v>
      </c>
      <c r="G16" s="14">
        <v>60.430709882617982</v>
      </c>
      <c r="H16" s="16" t="s">
        <v>69</v>
      </c>
      <c r="I16" s="15">
        <v>91.64332031137161</v>
      </c>
    </row>
    <row r="17" spans="1:9" x14ac:dyDescent="0.35">
      <c r="A17" s="9" t="s">
        <v>121</v>
      </c>
      <c r="B17" s="9">
        <v>12.7</v>
      </c>
      <c r="C17" s="9" t="s">
        <v>128</v>
      </c>
      <c r="D17" s="9">
        <v>63.5</v>
      </c>
      <c r="E17" s="7"/>
      <c r="F17" s="16" t="s">
        <v>76</v>
      </c>
      <c r="G17" s="14">
        <v>82.648344769259111</v>
      </c>
      <c r="H17" s="16" t="s">
        <v>77</v>
      </c>
      <c r="I17" s="15">
        <v>123.34252630266477</v>
      </c>
    </row>
    <row r="18" spans="1:9" x14ac:dyDescent="0.35">
      <c r="A18" s="9" t="s">
        <v>121</v>
      </c>
      <c r="B18" s="9">
        <v>12.7</v>
      </c>
      <c r="C18" s="9" t="s">
        <v>12</v>
      </c>
      <c r="D18" s="9">
        <v>76.2</v>
      </c>
      <c r="E18" s="7"/>
      <c r="F18" s="13" t="s">
        <v>86</v>
      </c>
      <c r="G18" s="14">
        <v>88.44629899356643</v>
      </c>
      <c r="H18" s="13" t="s">
        <v>87</v>
      </c>
      <c r="I18" s="15">
        <v>131.1508456700081</v>
      </c>
    </row>
    <row r="19" spans="1:9" x14ac:dyDescent="0.35">
      <c r="A19" s="9" t="s">
        <v>121</v>
      </c>
      <c r="B19" s="9">
        <v>12.7</v>
      </c>
      <c r="C19" s="9" t="s">
        <v>133</v>
      </c>
      <c r="D19" s="9">
        <v>101.6</v>
      </c>
      <c r="E19" s="7"/>
      <c r="F19" s="16" t="s">
        <v>98</v>
      </c>
      <c r="G19" s="14">
        <v>144.22607540627939</v>
      </c>
      <c r="H19" s="16" t="s">
        <v>99</v>
      </c>
      <c r="I19" s="15">
        <v>194.08332913067483</v>
      </c>
    </row>
    <row r="20" spans="1:9" x14ac:dyDescent="0.35">
      <c r="A20" s="9" t="s">
        <v>7</v>
      </c>
      <c r="B20" s="9">
        <v>19.05</v>
      </c>
      <c r="C20" s="9" t="s">
        <v>7</v>
      </c>
      <c r="D20" s="9">
        <v>19.05</v>
      </c>
      <c r="E20" s="3"/>
      <c r="F20" s="16" t="s">
        <v>22</v>
      </c>
      <c r="G20" s="14">
        <v>42.835759685556518</v>
      </c>
      <c r="H20" s="16" t="s">
        <v>23</v>
      </c>
      <c r="I20" s="15">
        <v>59.535924292533593</v>
      </c>
    </row>
    <row r="21" spans="1:9" x14ac:dyDescent="0.35">
      <c r="A21" s="9" t="s">
        <v>123</v>
      </c>
      <c r="B21" s="9">
        <v>19.05</v>
      </c>
      <c r="C21" s="9" t="s">
        <v>122</v>
      </c>
      <c r="D21" s="9">
        <v>25.4</v>
      </c>
      <c r="E21" s="7"/>
      <c r="F21" s="13" t="s">
        <v>60</v>
      </c>
      <c r="G21" s="14">
        <v>49.981822188405552</v>
      </c>
      <c r="H21" s="13" t="s">
        <v>61</v>
      </c>
      <c r="I21" s="15">
        <v>70.451605814404715</v>
      </c>
    </row>
    <row r="22" spans="1:9" x14ac:dyDescent="0.35">
      <c r="A22" s="9" t="s">
        <v>123</v>
      </c>
      <c r="B22" s="9">
        <v>19.05</v>
      </c>
      <c r="C22" s="9" t="s">
        <v>124</v>
      </c>
      <c r="D22" s="9">
        <v>38.1</v>
      </c>
      <c r="E22" s="6"/>
      <c r="F22" s="9" t="s">
        <v>64</v>
      </c>
      <c r="G22" s="10">
        <v>48.363423041783179</v>
      </c>
      <c r="H22" s="9" t="s">
        <v>65</v>
      </c>
      <c r="I22" s="11">
        <v>75.833883567614663</v>
      </c>
    </row>
    <row r="23" spans="1:9" x14ac:dyDescent="0.35">
      <c r="A23" s="9" t="s">
        <v>123</v>
      </c>
      <c r="B23" s="9">
        <v>19.05</v>
      </c>
      <c r="C23" s="9" t="s">
        <v>126</v>
      </c>
      <c r="D23" s="9">
        <v>50.8</v>
      </c>
      <c r="E23" s="6"/>
      <c r="F23" s="22" t="s">
        <v>70</v>
      </c>
      <c r="G23" s="10">
        <v>60.572123400284006</v>
      </c>
      <c r="H23" s="22" t="s">
        <v>71</v>
      </c>
      <c r="I23" s="11">
        <v>91.771852317418407</v>
      </c>
    </row>
    <row r="24" spans="1:9" x14ac:dyDescent="0.35">
      <c r="A24" s="9" t="s">
        <v>123</v>
      </c>
      <c r="B24" s="9">
        <v>19.05</v>
      </c>
      <c r="C24" s="9" t="s">
        <v>128</v>
      </c>
      <c r="D24" s="9">
        <v>63.5</v>
      </c>
      <c r="E24" s="6"/>
      <c r="F24" s="9" t="s">
        <v>78</v>
      </c>
      <c r="G24" s="10">
        <v>81.51703662793085</v>
      </c>
      <c r="H24" s="9" t="s">
        <v>79</v>
      </c>
      <c r="I24" s="11">
        <v>122.12147224522009</v>
      </c>
    </row>
    <row r="25" spans="1:9" x14ac:dyDescent="0.35">
      <c r="A25" s="9" t="s">
        <v>123</v>
      </c>
      <c r="B25" s="9">
        <v>19.05</v>
      </c>
      <c r="C25" s="9" t="s">
        <v>131</v>
      </c>
      <c r="D25" s="9">
        <v>76.2</v>
      </c>
      <c r="E25" s="6"/>
      <c r="F25" s="9" t="s">
        <v>88</v>
      </c>
      <c r="G25" s="10">
        <v>87.189289947646174</v>
      </c>
      <c r="H25" s="9" t="s">
        <v>89</v>
      </c>
      <c r="I25" s="11">
        <v>129.80125960651668</v>
      </c>
    </row>
    <row r="26" spans="1:9" x14ac:dyDescent="0.35">
      <c r="A26" s="9" t="s">
        <v>123</v>
      </c>
      <c r="B26" s="9">
        <v>19.05</v>
      </c>
      <c r="C26" s="9" t="s">
        <v>133</v>
      </c>
      <c r="D26" s="9">
        <v>101.6</v>
      </c>
      <c r="E26" s="7"/>
      <c r="F26" s="13" t="s">
        <v>100</v>
      </c>
      <c r="G26" s="14">
        <v>144.47747721546344</v>
      </c>
      <c r="H26" s="13" t="s">
        <v>101</v>
      </c>
      <c r="I26" s="15">
        <v>194.35645964352423</v>
      </c>
    </row>
    <row r="27" spans="1:9" x14ac:dyDescent="0.35">
      <c r="A27" s="9" t="s">
        <v>8</v>
      </c>
      <c r="B27" s="9">
        <v>25.4</v>
      </c>
      <c r="C27" s="9" t="s">
        <v>8</v>
      </c>
      <c r="D27" s="9">
        <v>25.4</v>
      </c>
      <c r="E27" s="3"/>
      <c r="F27" s="16" t="s">
        <v>24</v>
      </c>
      <c r="G27" s="14">
        <v>27.10772697163728</v>
      </c>
      <c r="H27" s="16" t="s">
        <v>25</v>
      </c>
      <c r="I27" s="15">
        <v>42.129234562936908</v>
      </c>
    </row>
    <row r="28" spans="1:9" x14ac:dyDescent="0.35">
      <c r="A28" s="9" t="s">
        <v>125</v>
      </c>
      <c r="B28" s="9">
        <v>25.4</v>
      </c>
      <c r="C28" s="9" t="s">
        <v>124</v>
      </c>
      <c r="D28" s="9">
        <v>38.1</v>
      </c>
      <c r="E28" s="7"/>
      <c r="F28" s="13" t="s">
        <v>66</v>
      </c>
      <c r="G28" s="14">
        <v>40.428553439411345</v>
      </c>
      <c r="H28" s="13" t="s">
        <v>67</v>
      </c>
      <c r="I28" s="15">
        <v>65.021128558927217</v>
      </c>
    </row>
    <row r="29" spans="1:9" x14ac:dyDescent="0.35">
      <c r="A29" s="9" t="s">
        <v>125</v>
      </c>
      <c r="B29" s="9">
        <v>25.4</v>
      </c>
      <c r="C29" s="9" t="s">
        <v>126</v>
      </c>
      <c r="D29" s="9">
        <v>50.8</v>
      </c>
      <c r="E29" s="7"/>
      <c r="F29" s="16" t="s">
        <v>72</v>
      </c>
      <c r="G29" s="14">
        <v>45.67656620612857</v>
      </c>
      <c r="H29" s="16" t="s">
        <v>73</v>
      </c>
      <c r="I29" s="15">
        <v>77.424467142443859</v>
      </c>
    </row>
    <row r="30" spans="1:9" x14ac:dyDescent="0.35">
      <c r="A30" s="9" t="s">
        <v>125</v>
      </c>
      <c r="B30" s="9">
        <v>25.4</v>
      </c>
      <c r="C30" s="9" t="s">
        <v>128</v>
      </c>
      <c r="D30" s="9">
        <v>63.5</v>
      </c>
      <c r="E30" s="7"/>
      <c r="F30" s="13" t="s">
        <v>80</v>
      </c>
      <c r="G30" s="14">
        <v>59.582228776621768</v>
      </c>
      <c r="H30" s="13" t="s">
        <v>81</v>
      </c>
      <c r="I30" s="15">
        <v>97.861056103885758</v>
      </c>
    </row>
    <row r="31" spans="1:9" x14ac:dyDescent="0.35">
      <c r="A31" s="9" t="s">
        <v>125</v>
      </c>
      <c r="B31" s="9">
        <v>25.4</v>
      </c>
      <c r="C31" s="9" t="s">
        <v>131</v>
      </c>
      <c r="D31" s="9">
        <v>76.2</v>
      </c>
      <c r="E31" s="7"/>
      <c r="F31" s="16" t="s">
        <v>90</v>
      </c>
      <c r="G31" s="14">
        <v>75.122003106811377</v>
      </c>
      <c r="H31" s="16" t="s">
        <v>91</v>
      </c>
      <c r="I31" s="15">
        <v>116.32146547235807</v>
      </c>
    </row>
    <row r="32" spans="1:9" x14ac:dyDescent="0.35">
      <c r="A32" s="9" t="s">
        <v>125</v>
      </c>
      <c r="B32" s="9">
        <v>25.4</v>
      </c>
      <c r="C32" s="9" t="s">
        <v>133</v>
      </c>
      <c r="D32" s="9">
        <v>101.6</v>
      </c>
      <c r="E32" s="7"/>
      <c r="F32" s="13" t="s">
        <v>102</v>
      </c>
      <c r="G32" s="14">
        <v>108.95125905514119</v>
      </c>
      <c r="H32" s="13" t="s">
        <v>103</v>
      </c>
      <c r="I32" s="15">
        <v>160.95420457211097</v>
      </c>
    </row>
    <row r="33" spans="1:9" x14ac:dyDescent="0.35">
      <c r="A33" s="9" t="s">
        <v>9</v>
      </c>
      <c r="B33" s="9">
        <v>38.1</v>
      </c>
      <c r="C33" s="9" t="s">
        <v>9</v>
      </c>
      <c r="D33" s="9">
        <v>38.1</v>
      </c>
      <c r="E33" s="8"/>
      <c r="F33" s="22" t="s">
        <v>26</v>
      </c>
      <c r="G33" s="10">
        <v>32.473761662268551</v>
      </c>
      <c r="H33" s="22" t="s">
        <v>27</v>
      </c>
      <c r="I33" s="11">
        <v>49.539691241297831</v>
      </c>
    </row>
    <row r="34" spans="1:9" x14ac:dyDescent="0.35">
      <c r="A34" s="9" t="s">
        <v>129</v>
      </c>
      <c r="B34" s="9">
        <v>38.1</v>
      </c>
      <c r="C34" s="9" t="s">
        <v>126</v>
      </c>
      <c r="D34" s="9">
        <v>50.8</v>
      </c>
      <c r="E34" s="6"/>
      <c r="F34" s="22" t="s">
        <v>74</v>
      </c>
      <c r="G34" s="10">
        <v>46.383633794458731</v>
      </c>
      <c r="H34" s="22" t="s">
        <v>75</v>
      </c>
      <c r="I34" s="11">
        <v>78.211725679480537</v>
      </c>
    </row>
    <row r="35" spans="1:9" x14ac:dyDescent="0.35">
      <c r="A35" s="9" t="s">
        <v>129</v>
      </c>
      <c r="B35" s="9">
        <v>38.1</v>
      </c>
      <c r="C35" s="9" t="s">
        <v>128</v>
      </c>
      <c r="D35" s="9">
        <v>63.5</v>
      </c>
      <c r="E35" s="6"/>
      <c r="F35" s="9" t="s">
        <v>82</v>
      </c>
      <c r="G35" s="10">
        <v>58.875161188291614</v>
      </c>
      <c r="H35" s="9" t="s">
        <v>83</v>
      </c>
      <c r="I35" s="11">
        <v>97.089864067604907</v>
      </c>
    </row>
    <row r="36" spans="1:9" x14ac:dyDescent="0.35">
      <c r="A36" s="9" t="s">
        <v>129</v>
      </c>
      <c r="B36" s="9">
        <v>38.1</v>
      </c>
      <c r="C36" s="9" t="s">
        <v>131</v>
      </c>
      <c r="D36" s="9">
        <v>76.2</v>
      </c>
      <c r="E36" s="6"/>
      <c r="F36" s="22" t="s">
        <v>92</v>
      </c>
      <c r="G36" s="10">
        <v>74.414935518481215</v>
      </c>
      <c r="H36" s="22" t="s">
        <v>93</v>
      </c>
      <c r="I36" s="11">
        <v>115.55027343607725</v>
      </c>
    </row>
    <row r="37" spans="1:9" x14ac:dyDescent="0.35">
      <c r="A37" s="9" t="s">
        <v>129</v>
      </c>
      <c r="B37" s="9">
        <v>38.1</v>
      </c>
      <c r="C37" s="9" t="s">
        <v>133</v>
      </c>
      <c r="D37" s="9">
        <v>101.6</v>
      </c>
      <c r="E37" s="7"/>
      <c r="F37" s="13" t="s">
        <v>104</v>
      </c>
      <c r="G37" s="14">
        <v>108.21276624066302</v>
      </c>
      <c r="H37" s="13" t="s">
        <v>105</v>
      </c>
      <c r="I37" s="15">
        <v>155.4755278143659</v>
      </c>
    </row>
    <row r="38" spans="1:9" x14ac:dyDescent="0.35">
      <c r="A38" s="9" t="s">
        <v>10</v>
      </c>
      <c r="B38" s="9">
        <v>50.8</v>
      </c>
      <c r="C38" s="9" t="s">
        <v>10</v>
      </c>
      <c r="D38" s="9">
        <v>50.8</v>
      </c>
      <c r="E38" s="3"/>
      <c r="F38" s="16" t="s">
        <v>28</v>
      </c>
      <c r="G38" s="14">
        <v>39.921447741506782</v>
      </c>
      <c r="H38" s="16" t="s">
        <v>29</v>
      </c>
      <c r="I38" s="15">
        <v>61.096850273720243</v>
      </c>
    </row>
    <row r="39" spans="1:9" x14ac:dyDescent="0.35">
      <c r="A39" s="9" t="s">
        <v>130</v>
      </c>
      <c r="B39" s="9">
        <v>50.8</v>
      </c>
      <c r="C39" s="9" t="s">
        <v>128</v>
      </c>
      <c r="D39" s="9">
        <v>63.5</v>
      </c>
      <c r="E39" s="7"/>
      <c r="F39" s="13" t="s">
        <v>84</v>
      </c>
      <c r="G39" s="14">
        <v>57.838128725407373</v>
      </c>
      <c r="H39" s="13" t="s">
        <v>85</v>
      </c>
      <c r="I39" s="15">
        <v>95.949142513939549</v>
      </c>
    </row>
    <row r="40" spans="1:9" x14ac:dyDescent="0.35">
      <c r="A40" s="9" t="s">
        <v>130</v>
      </c>
      <c r="B40" s="9">
        <v>50.8</v>
      </c>
      <c r="C40" s="9" t="s">
        <v>131</v>
      </c>
      <c r="D40" s="9">
        <v>76.2</v>
      </c>
      <c r="E40" s="7"/>
      <c r="F40" s="16" t="s">
        <v>94</v>
      </c>
      <c r="G40" s="14">
        <v>73.362190442522959</v>
      </c>
      <c r="H40" s="16" t="s">
        <v>95</v>
      </c>
      <c r="I40" s="15">
        <v>114.40955188241182</v>
      </c>
    </row>
    <row r="41" spans="1:9" x14ac:dyDescent="0.35">
      <c r="A41" s="9" t="s">
        <v>130</v>
      </c>
      <c r="B41" s="9">
        <v>50.8</v>
      </c>
      <c r="C41" s="9" t="s">
        <v>133</v>
      </c>
      <c r="D41" s="9">
        <v>101.6</v>
      </c>
      <c r="E41" s="7"/>
      <c r="F41" s="13" t="s">
        <v>106</v>
      </c>
      <c r="G41" s="14">
        <v>104.70885352516024</v>
      </c>
      <c r="H41" s="13" t="s">
        <v>107</v>
      </c>
      <c r="I41" s="15">
        <v>151.66776713522933</v>
      </c>
    </row>
    <row r="42" spans="1:9" x14ac:dyDescent="0.35">
      <c r="A42" s="9" t="s">
        <v>11</v>
      </c>
      <c r="B42" s="9">
        <v>63.5</v>
      </c>
      <c r="C42" s="9" t="s">
        <v>11</v>
      </c>
      <c r="D42" s="9">
        <v>63.5</v>
      </c>
      <c r="E42" s="3"/>
      <c r="F42" s="13" t="s">
        <v>30</v>
      </c>
      <c r="G42" s="14">
        <v>56.358783891543936</v>
      </c>
      <c r="H42" s="13" t="s">
        <v>31</v>
      </c>
      <c r="I42" s="15">
        <v>82.776377790201622</v>
      </c>
    </row>
    <row r="43" spans="1:9" x14ac:dyDescent="0.35">
      <c r="A43" s="9" t="s">
        <v>132</v>
      </c>
      <c r="B43" s="9">
        <v>63.5</v>
      </c>
      <c r="C43" s="9" t="s">
        <v>131</v>
      </c>
      <c r="D43" s="9">
        <v>76.2</v>
      </c>
      <c r="E43" s="7"/>
      <c r="F43" s="16" t="s">
        <v>96</v>
      </c>
      <c r="G43" s="14">
        <v>72.780823758784834</v>
      </c>
      <c r="H43" s="16" t="s">
        <v>97</v>
      </c>
      <c r="I43" s="15">
        <v>113.76689185217782</v>
      </c>
    </row>
    <row r="44" spans="1:9" x14ac:dyDescent="0.35">
      <c r="A44" s="9" t="s">
        <v>132</v>
      </c>
      <c r="B44" s="9">
        <v>63.5</v>
      </c>
      <c r="C44" s="9" t="s">
        <v>133</v>
      </c>
      <c r="D44" s="9">
        <v>101.6</v>
      </c>
      <c r="E44" s="6"/>
      <c r="F44" s="9" t="s">
        <v>108</v>
      </c>
      <c r="G44" s="10">
        <v>101.75488226724754</v>
      </c>
      <c r="H44" s="9" t="s">
        <v>109</v>
      </c>
      <c r="I44" s="11">
        <v>148.39020098103578</v>
      </c>
    </row>
    <row r="45" spans="1:9" x14ac:dyDescent="0.35">
      <c r="A45" s="9" t="s">
        <v>12</v>
      </c>
      <c r="B45" s="9">
        <v>76.2</v>
      </c>
      <c r="C45" s="9" t="s">
        <v>12</v>
      </c>
      <c r="D45" s="9">
        <v>76.2</v>
      </c>
      <c r="E45" s="8"/>
      <c r="F45" s="9" t="s">
        <v>32</v>
      </c>
      <c r="G45" s="10">
        <v>70.005165216856227</v>
      </c>
      <c r="H45" s="9" t="s">
        <v>33</v>
      </c>
      <c r="I45" s="11">
        <v>100.24613523620988</v>
      </c>
    </row>
    <row r="46" spans="1:9" x14ac:dyDescent="0.35">
      <c r="A46" s="9" t="s">
        <v>134</v>
      </c>
      <c r="B46" s="9">
        <v>76.2</v>
      </c>
      <c r="C46" s="9" t="s">
        <v>133</v>
      </c>
      <c r="D46" s="9">
        <v>101.6</v>
      </c>
      <c r="E46" s="6"/>
      <c r="F46" s="9" t="s">
        <v>110</v>
      </c>
      <c r="G46" s="10">
        <v>103.27900573542588</v>
      </c>
      <c r="H46" s="9" t="s">
        <v>111</v>
      </c>
      <c r="I46" s="11">
        <v>150.06111705964423</v>
      </c>
    </row>
    <row r="47" spans="1:9" x14ac:dyDescent="0.35">
      <c r="A47" s="9" t="s">
        <v>134</v>
      </c>
      <c r="B47" s="9">
        <v>76.2</v>
      </c>
      <c r="C47" s="9" t="s">
        <v>135</v>
      </c>
      <c r="D47" s="9">
        <v>152.4</v>
      </c>
      <c r="E47" s="6"/>
      <c r="F47" s="22" t="s">
        <v>112</v>
      </c>
      <c r="G47" s="10">
        <v>399.22607298428426</v>
      </c>
      <c r="H47" s="22" t="s">
        <v>113</v>
      </c>
      <c r="I47" s="11">
        <v>544.34911210897292</v>
      </c>
    </row>
    <row r="48" spans="1:9" x14ac:dyDescent="0.35">
      <c r="A48" s="9" t="s">
        <v>13</v>
      </c>
      <c r="B48" s="9">
        <v>101.6</v>
      </c>
      <c r="C48" s="9" t="s">
        <v>13</v>
      </c>
      <c r="D48" s="9">
        <v>101.6</v>
      </c>
      <c r="E48" s="3"/>
      <c r="F48" s="13" t="s">
        <v>34</v>
      </c>
      <c r="G48" s="14">
        <v>110.2966843163376</v>
      </c>
      <c r="H48" s="13" t="s">
        <v>35</v>
      </c>
      <c r="I48" s="15">
        <v>147.32618553745601</v>
      </c>
    </row>
    <row r="49" spans="1:9" x14ac:dyDescent="0.35">
      <c r="A49" s="9" t="s">
        <v>136</v>
      </c>
      <c r="B49" s="9">
        <v>101.6</v>
      </c>
      <c r="C49" s="9" t="s">
        <v>135</v>
      </c>
      <c r="D49" s="9">
        <v>152.4</v>
      </c>
      <c r="E49" s="7"/>
      <c r="F49" s="16" t="s">
        <v>114</v>
      </c>
      <c r="G49" s="14">
        <v>403.89271906726344</v>
      </c>
      <c r="H49" s="16" t="s">
        <v>115</v>
      </c>
      <c r="I49" s="15">
        <v>549.34579384404242</v>
      </c>
    </row>
    <row r="50" spans="1:9" x14ac:dyDescent="0.35">
      <c r="A50" s="9" t="s">
        <v>14</v>
      </c>
      <c r="B50" s="9">
        <v>152.4</v>
      </c>
      <c r="C50" s="9" t="s">
        <v>14</v>
      </c>
      <c r="D50" s="9">
        <v>152.4</v>
      </c>
      <c r="E50" s="3"/>
      <c r="F50" s="13" t="s">
        <v>36</v>
      </c>
      <c r="G50" s="14">
        <v>490.80713851377402</v>
      </c>
      <c r="H50" s="13" t="s">
        <v>37</v>
      </c>
      <c r="I50" s="15">
        <v>687.29620652431981</v>
      </c>
    </row>
  </sheetData>
  <sortState xmlns:xlrd2="http://schemas.microsoft.com/office/spreadsheetml/2017/richdata2" ref="A3:I50">
    <sortCondition ref="B3:B50"/>
  </sortState>
  <conditionalFormatting sqref="A3:I50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43D9-4CD5-48C7-AE36-B5A7D5E51576}">
  <dimension ref="A1:K26"/>
  <sheetViews>
    <sheetView workbookViewId="0">
      <selection activeCell="F1" sqref="F1:I1048576"/>
    </sheetView>
  </sheetViews>
  <sheetFormatPr defaultRowHeight="14.5" x14ac:dyDescent="0.35"/>
  <cols>
    <col min="1" max="1" width="16" customWidth="1"/>
    <col min="2" max="2" width="13.1796875" customWidth="1"/>
    <col min="3" max="3" width="9.54296875" customWidth="1"/>
    <col min="4" max="5" width="13" customWidth="1"/>
    <col min="6" max="6" width="25.1796875" customWidth="1"/>
    <col min="7" max="7" width="33.90625" customWidth="1"/>
    <col min="8" max="8" width="27.1796875" style="12" customWidth="1"/>
    <col min="9" max="9" width="36.90625" style="12" customWidth="1"/>
    <col min="10" max="10" width="34" style="12" customWidth="1"/>
    <col min="11" max="11" width="43" style="12" customWidth="1"/>
  </cols>
  <sheetData>
    <row r="1" spans="1:11" ht="17.5" x14ac:dyDescent="0.35">
      <c r="A1" s="4" t="s">
        <v>137</v>
      </c>
      <c r="B1" s="5"/>
      <c r="C1" s="5"/>
      <c r="D1" s="5"/>
      <c r="E1" s="18"/>
      <c r="F1" s="18"/>
      <c r="G1" s="18"/>
      <c r="H1" s="19"/>
      <c r="I1" s="20"/>
      <c r="J1" s="20"/>
      <c r="K1" s="21"/>
    </row>
    <row r="2" spans="1:11" ht="15" thickBot="1" x14ac:dyDescent="0.4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 t="s">
        <v>0</v>
      </c>
      <c r="G2" s="2" t="s">
        <v>1</v>
      </c>
      <c r="H2" s="1" t="s">
        <v>2</v>
      </c>
      <c r="I2" s="2" t="s">
        <v>3</v>
      </c>
      <c r="J2"/>
      <c r="K2"/>
    </row>
    <row r="3" spans="1:11" x14ac:dyDescent="0.35">
      <c r="A3" s="9" t="s">
        <v>116</v>
      </c>
      <c r="B3" s="9" t="s">
        <v>180</v>
      </c>
      <c r="C3" s="9" t="s">
        <v>117</v>
      </c>
      <c r="D3" s="9" t="s">
        <v>181</v>
      </c>
      <c r="E3" s="8"/>
      <c r="F3" s="9" t="s">
        <v>138</v>
      </c>
      <c r="G3" s="10">
        <v>66.497944532919874</v>
      </c>
      <c r="H3" s="9" t="s">
        <v>139</v>
      </c>
      <c r="I3" s="10">
        <v>94.817186783038707</v>
      </c>
      <c r="J3"/>
      <c r="K3"/>
    </row>
    <row r="4" spans="1:11" x14ac:dyDescent="0.35">
      <c r="A4" s="9" t="s">
        <v>116</v>
      </c>
      <c r="B4" s="9" t="s">
        <v>180</v>
      </c>
      <c r="C4" s="9" t="s">
        <v>118</v>
      </c>
      <c r="D4" s="9" t="s">
        <v>182</v>
      </c>
      <c r="E4" s="7"/>
      <c r="F4" s="13" t="s">
        <v>140</v>
      </c>
      <c r="G4" s="14">
        <v>66.497944532919874</v>
      </c>
      <c r="H4" s="13" t="s">
        <v>141</v>
      </c>
      <c r="I4" s="14">
        <v>94.817186783038707</v>
      </c>
      <c r="J4"/>
      <c r="K4"/>
    </row>
    <row r="5" spans="1:11" x14ac:dyDescent="0.35">
      <c r="A5" s="9" t="s">
        <v>119</v>
      </c>
      <c r="B5" s="9" t="s">
        <v>183</v>
      </c>
      <c r="C5" s="9" t="s">
        <v>118</v>
      </c>
      <c r="D5" s="9" t="s">
        <v>182</v>
      </c>
      <c r="E5" s="7"/>
      <c r="F5" s="13" t="s">
        <v>142</v>
      </c>
      <c r="G5" s="14">
        <v>66.921672442584949</v>
      </c>
      <c r="H5" s="13" t="s">
        <v>143</v>
      </c>
      <c r="I5" s="14">
        <v>95.264569557597426</v>
      </c>
      <c r="J5"/>
      <c r="K5"/>
    </row>
    <row r="6" spans="1:11" x14ac:dyDescent="0.35">
      <c r="A6" s="9" t="s">
        <v>119</v>
      </c>
      <c r="B6" s="9" t="s">
        <v>183</v>
      </c>
      <c r="C6" s="9" t="s">
        <v>120</v>
      </c>
      <c r="D6" s="9" t="s">
        <v>184</v>
      </c>
      <c r="E6" s="7"/>
      <c r="F6" s="16" t="s">
        <v>144</v>
      </c>
      <c r="G6" s="14">
        <v>85.839073312792777</v>
      </c>
      <c r="H6" s="16" t="s">
        <v>145</v>
      </c>
      <c r="I6" s="14">
        <v>110.61539100964353</v>
      </c>
      <c r="J6"/>
      <c r="K6"/>
    </row>
    <row r="7" spans="1:11" x14ac:dyDescent="0.35">
      <c r="A7" s="9" t="s">
        <v>121</v>
      </c>
      <c r="B7" s="9" t="s">
        <v>185</v>
      </c>
      <c r="C7" s="9" t="s">
        <v>120</v>
      </c>
      <c r="D7" s="9" t="s">
        <v>184</v>
      </c>
      <c r="E7" s="7"/>
      <c r="F7" s="16" t="s">
        <v>146</v>
      </c>
      <c r="G7" s="14">
        <v>23.570425389451096</v>
      </c>
      <c r="H7" s="16" t="s">
        <v>147</v>
      </c>
      <c r="I7" s="14">
        <v>41.917976445053839</v>
      </c>
      <c r="J7"/>
      <c r="K7"/>
    </row>
    <row r="8" spans="1:11" x14ac:dyDescent="0.35">
      <c r="A8" s="9" t="s">
        <v>121</v>
      </c>
      <c r="B8" s="9" t="s">
        <v>185</v>
      </c>
      <c r="C8" s="9" t="s">
        <v>122</v>
      </c>
      <c r="D8" s="9" t="s">
        <v>186</v>
      </c>
      <c r="E8" s="3"/>
      <c r="F8" s="13" t="s">
        <v>148</v>
      </c>
      <c r="G8" s="14">
        <v>25.280957438244521</v>
      </c>
      <c r="H8" s="13" t="s">
        <v>149</v>
      </c>
      <c r="I8" s="14">
        <v>46.83321270547706</v>
      </c>
      <c r="J8"/>
      <c r="K8"/>
    </row>
    <row r="9" spans="1:11" x14ac:dyDescent="0.35">
      <c r="A9" s="9" t="s">
        <v>123</v>
      </c>
      <c r="B9" s="9" t="s">
        <v>187</v>
      </c>
      <c r="C9" s="9" t="s">
        <v>122</v>
      </c>
      <c r="D9" s="9" t="s">
        <v>186</v>
      </c>
      <c r="E9" s="7"/>
      <c r="F9" s="16" t="s">
        <v>150</v>
      </c>
      <c r="G9" s="14">
        <v>21.622891248529182</v>
      </c>
      <c r="H9" s="16" t="s">
        <v>151</v>
      </c>
      <c r="I9" s="14">
        <v>42.64771231473707</v>
      </c>
      <c r="J9"/>
      <c r="K9"/>
    </row>
    <row r="10" spans="1:11" x14ac:dyDescent="0.35">
      <c r="A10" s="9" t="s">
        <v>123</v>
      </c>
      <c r="B10" s="9" t="s">
        <v>187</v>
      </c>
      <c r="C10" s="9" t="s">
        <v>124</v>
      </c>
      <c r="D10" s="9" t="s">
        <v>188</v>
      </c>
      <c r="E10" s="7"/>
      <c r="F10" s="16" t="s">
        <v>152</v>
      </c>
      <c r="G10" s="14">
        <v>47.43085822258017</v>
      </c>
      <c r="H10" s="16" t="s">
        <v>153</v>
      </c>
      <c r="I10" s="14">
        <v>75.212173688145967</v>
      </c>
      <c r="J10"/>
      <c r="K10"/>
    </row>
    <row r="11" spans="1:11" x14ac:dyDescent="0.35">
      <c r="A11" s="9" t="s">
        <v>125</v>
      </c>
      <c r="B11" s="9" t="s">
        <v>189</v>
      </c>
      <c r="C11" s="9" t="s">
        <v>124</v>
      </c>
      <c r="D11" s="9" t="s">
        <v>188</v>
      </c>
      <c r="E11" s="6"/>
      <c r="F11" s="9" t="s">
        <v>154</v>
      </c>
      <c r="G11" s="10">
        <v>39.866721355711157</v>
      </c>
      <c r="H11" s="9" t="s">
        <v>155</v>
      </c>
      <c r="I11" s="10">
        <v>66.539943711877868</v>
      </c>
      <c r="J11"/>
      <c r="K11"/>
    </row>
    <row r="12" spans="1:11" x14ac:dyDescent="0.35">
      <c r="A12" s="9" t="s">
        <v>125</v>
      </c>
      <c r="B12" s="9" t="s">
        <v>189</v>
      </c>
      <c r="C12" s="9" t="s">
        <v>126</v>
      </c>
      <c r="D12" s="9" t="s">
        <v>190</v>
      </c>
      <c r="E12" s="8"/>
      <c r="F12" s="22" t="s">
        <v>156</v>
      </c>
      <c r="G12" s="10">
        <v>63.195053820291982</v>
      </c>
      <c r="H12" s="22" t="s">
        <v>157</v>
      </c>
      <c r="I12" s="10">
        <v>97.751346709982101</v>
      </c>
      <c r="J12"/>
      <c r="K12"/>
    </row>
    <row r="13" spans="1:11" x14ac:dyDescent="0.35">
      <c r="A13" s="9" t="s">
        <v>127</v>
      </c>
      <c r="B13" s="9" t="s">
        <v>191</v>
      </c>
      <c r="C13" s="9" t="s">
        <v>126</v>
      </c>
      <c r="D13" s="9" t="s">
        <v>190</v>
      </c>
      <c r="E13" s="6"/>
      <c r="F13" s="22" t="s">
        <v>158</v>
      </c>
      <c r="G13" s="10">
        <v>53.677304850679903</v>
      </c>
      <c r="H13" s="22" t="s">
        <v>159</v>
      </c>
      <c r="I13" s="10">
        <v>86.842365135142245</v>
      </c>
      <c r="J13"/>
      <c r="K13"/>
    </row>
    <row r="14" spans="1:11" x14ac:dyDescent="0.35">
      <c r="A14" s="9" t="s">
        <v>129</v>
      </c>
      <c r="B14" s="9" t="s">
        <v>191</v>
      </c>
      <c r="C14" s="9" t="s">
        <v>128</v>
      </c>
      <c r="D14" s="9" t="s">
        <v>192</v>
      </c>
      <c r="E14" s="6"/>
      <c r="F14" s="9" t="s">
        <v>160</v>
      </c>
      <c r="G14" s="10">
        <v>82.864499365331213</v>
      </c>
      <c r="H14" s="9" t="s">
        <v>161</v>
      </c>
      <c r="I14" s="11">
        <v>127.76874109459705</v>
      </c>
      <c r="J14"/>
      <c r="K14"/>
    </row>
    <row r="15" spans="1:11" x14ac:dyDescent="0.35">
      <c r="A15" s="9" t="s">
        <v>129</v>
      </c>
      <c r="B15" s="9" t="s">
        <v>191</v>
      </c>
      <c r="C15" s="9" t="s">
        <v>131</v>
      </c>
      <c r="D15" s="9" t="s">
        <v>194</v>
      </c>
      <c r="E15" s="7"/>
      <c r="F15" s="16" t="s">
        <v>164</v>
      </c>
      <c r="G15" s="14">
        <v>133.6744187292586</v>
      </c>
      <c r="H15" s="16" t="s">
        <v>165</v>
      </c>
      <c r="I15" s="15">
        <v>190.51953861940345</v>
      </c>
      <c r="J15"/>
      <c r="K15"/>
    </row>
    <row r="16" spans="1:11" x14ac:dyDescent="0.35">
      <c r="A16" s="9" t="s">
        <v>130</v>
      </c>
      <c r="B16" s="9" t="s">
        <v>193</v>
      </c>
      <c r="C16" s="9" t="s">
        <v>128</v>
      </c>
      <c r="D16" s="9" t="s">
        <v>192</v>
      </c>
      <c r="E16" s="7"/>
      <c r="F16" s="13" t="s">
        <v>162</v>
      </c>
      <c r="G16" s="14">
        <v>71.270289577589395</v>
      </c>
      <c r="H16" s="13" t="s">
        <v>163</v>
      </c>
      <c r="I16" s="15">
        <v>114.46709401948017</v>
      </c>
      <c r="J16"/>
      <c r="K16"/>
    </row>
    <row r="17" spans="1:11" x14ac:dyDescent="0.35">
      <c r="A17" s="9" t="s">
        <v>130</v>
      </c>
      <c r="B17" s="9" t="s">
        <v>193</v>
      </c>
      <c r="C17" s="9" t="s">
        <v>131</v>
      </c>
      <c r="D17" s="9" t="s">
        <v>194</v>
      </c>
      <c r="E17" s="7"/>
      <c r="F17" s="16" t="s">
        <v>166</v>
      </c>
      <c r="G17" s="14">
        <v>108.79646858310133</v>
      </c>
      <c r="H17" s="16" t="s">
        <v>167</v>
      </c>
      <c r="I17" s="15">
        <v>161.96618178712043</v>
      </c>
      <c r="J17"/>
      <c r="K17"/>
    </row>
    <row r="18" spans="1:11" x14ac:dyDescent="0.35">
      <c r="A18" s="9" t="s">
        <v>130</v>
      </c>
      <c r="B18" s="9" t="s">
        <v>193</v>
      </c>
      <c r="C18" s="9" t="s">
        <v>133</v>
      </c>
      <c r="D18" s="9" t="s">
        <v>196</v>
      </c>
      <c r="E18" s="7"/>
      <c r="F18" s="16" t="s">
        <v>170</v>
      </c>
      <c r="G18" s="14">
        <v>389.42904640003405</v>
      </c>
      <c r="H18" s="16" t="s">
        <v>171</v>
      </c>
      <c r="I18" s="15">
        <v>489.89379573434036</v>
      </c>
      <c r="J18"/>
      <c r="K18"/>
    </row>
    <row r="19" spans="1:11" x14ac:dyDescent="0.35">
      <c r="A19" s="9" t="s">
        <v>132</v>
      </c>
      <c r="B19" s="9" t="s">
        <v>195</v>
      </c>
      <c r="C19" s="9" t="s">
        <v>131</v>
      </c>
      <c r="D19" s="9" t="s">
        <v>194</v>
      </c>
      <c r="E19" s="7"/>
      <c r="F19" s="13" t="s">
        <v>168</v>
      </c>
      <c r="G19" s="14">
        <v>87.29757957829132</v>
      </c>
      <c r="H19" s="13" t="s">
        <v>169</v>
      </c>
      <c r="I19" s="15">
        <v>137.31295031893598</v>
      </c>
      <c r="J19"/>
      <c r="K19"/>
    </row>
    <row r="20" spans="1:11" x14ac:dyDescent="0.35">
      <c r="A20" s="9" t="s">
        <v>132</v>
      </c>
      <c r="B20" s="9" t="s">
        <v>195</v>
      </c>
      <c r="C20" s="9" t="s">
        <v>133</v>
      </c>
      <c r="D20" s="9" t="s">
        <v>196</v>
      </c>
      <c r="E20" s="3"/>
      <c r="F20" s="16" t="s">
        <v>172</v>
      </c>
      <c r="G20" s="14">
        <v>328.7144478190383</v>
      </c>
      <c r="H20" s="16" t="s">
        <v>173</v>
      </c>
      <c r="I20" s="15">
        <v>420.2305808975542</v>
      </c>
      <c r="J20"/>
      <c r="K20"/>
    </row>
    <row r="21" spans="1:11" x14ac:dyDescent="0.35">
      <c r="A21" s="9" t="s">
        <v>134</v>
      </c>
      <c r="B21" s="9" t="s">
        <v>197</v>
      </c>
      <c r="C21" s="9" t="s">
        <v>133</v>
      </c>
      <c r="D21" s="9" t="s">
        <v>196</v>
      </c>
      <c r="E21" s="7"/>
      <c r="F21" s="13" t="s">
        <v>174</v>
      </c>
      <c r="G21" s="14">
        <v>183.56982154575704</v>
      </c>
      <c r="H21" s="13" t="s">
        <v>175</v>
      </c>
      <c r="I21" s="15">
        <v>253.71425285231874</v>
      </c>
      <c r="J21"/>
      <c r="K21"/>
    </row>
    <row r="22" spans="1:11" x14ac:dyDescent="0.35">
      <c r="A22" s="9" t="s">
        <v>134</v>
      </c>
      <c r="B22" s="9" t="s">
        <v>197</v>
      </c>
      <c r="C22" s="9" t="s">
        <v>135</v>
      </c>
      <c r="D22" s="9" t="s">
        <v>198</v>
      </c>
      <c r="E22" s="6"/>
      <c r="F22" s="9" t="s">
        <v>176</v>
      </c>
      <c r="G22" s="10">
        <v>2025.5029509404019</v>
      </c>
      <c r="H22" s="9" t="s">
        <v>177</v>
      </c>
      <c r="I22" s="11">
        <v>2181.0089212847424</v>
      </c>
      <c r="J22"/>
      <c r="K22"/>
    </row>
    <row r="23" spans="1:11" x14ac:dyDescent="0.35">
      <c r="A23" s="9" t="s">
        <v>136</v>
      </c>
      <c r="B23" s="9" t="s">
        <v>199</v>
      </c>
      <c r="C23" s="9" t="s">
        <v>135</v>
      </c>
      <c r="D23" s="9" t="s">
        <v>198</v>
      </c>
      <c r="E23" s="6"/>
      <c r="F23" s="22" t="s">
        <v>178</v>
      </c>
      <c r="G23" s="10">
        <v>1852.4758733487186</v>
      </c>
      <c r="H23" s="22" t="s">
        <v>179</v>
      </c>
      <c r="I23" s="11">
        <v>1980.9250282532969</v>
      </c>
      <c r="J23"/>
      <c r="K23"/>
    </row>
    <row r="26" spans="1:11" x14ac:dyDescent="0.35">
      <c r="C26" s="9" t="e">
        <f>MID(A26,FIND("-",A26)+1,LEN(A26))</f>
        <v>#VALUE!</v>
      </c>
      <c r="D26" s="17" t="e">
        <f>MID(A26,1,SEARCH("-",A26)-1)</f>
        <v>#VALUE!</v>
      </c>
    </row>
  </sheetData>
  <sortState xmlns:xlrd2="http://schemas.microsoft.com/office/spreadsheetml/2017/richdata2" ref="A3:I23">
    <sortCondition ref="B3:B23"/>
  </sortState>
  <conditionalFormatting sqref="A3:I23">
    <cfRule type="expression" dxfId="4" priority="2">
      <formula>MOD(ROW(),2)=0</formula>
    </cfRule>
  </conditionalFormatting>
  <conditionalFormatting sqref="C26">
    <cfRule type="expression" dxfId="3" priority="1">
      <formula>MOD(ROW(),2)=0</formula>
    </cfRule>
  </conditionalFormatting>
  <pageMargins left="0.7" right="0.7" top="0.75" bottom="0.75" header="0.3" footer="0.3"/>
  <ignoredErrors>
    <ignoredError sqref="B3:D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4210-54F1-4589-8AC3-AC6DFF9CD907}">
  <dimension ref="A1:H23"/>
  <sheetViews>
    <sheetView tabSelected="1" workbookViewId="0">
      <selection activeCell="E30" sqref="E30"/>
    </sheetView>
  </sheetViews>
  <sheetFormatPr defaultRowHeight="14.5" x14ac:dyDescent="0.35"/>
  <cols>
    <col min="1" max="1" width="16" customWidth="1"/>
    <col min="2" max="2" width="17.453125" customWidth="1"/>
    <col min="3" max="3" width="9.54296875" customWidth="1"/>
    <col min="4" max="4" width="22.54296875" customWidth="1"/>
    <col min="5" max="5" width="25.1796875" customWidth="1"/>
    <col min="6" max="6" width="33.90625" customWidth="1"/>
    <col min="7" max="7" width="27.1796875" style="12" customWidth="1"/>
    <col min="8" max="8" width="36.90625" style="12" customWidth="1"/>
  </cols>
  <sheetData>
    <row r="1" spans="1:8" ht="24.5" x14ac:dyDescent="0.45">
      <c r="A1" s="4" t="s">
        <v>200</v>
      </c>
      <c r="B1" s="23"/>
      <c r="C1" s="23"/>
      <c r="D1" s="24"/>
      <c r="E1" s="18"/>
      <c r="F1" s="18"/>
      <c r="G1" s="19"/>
      <c r="H1" s="20"/>
    </row>
    <row r="2" spans="1:8" ht="15" thickBot="1" x14ac:dyDescent="0.4">
      <c r="A2" s="1" t="s">
        <v>38</v>
      </c>
      <c r="B2" s="1" t="s">
        <v>39</v>
      </c>
      <c r="C2" s="1" t="s">
        <v>40</v>
      </c>
      <c r="D2" s="1" t="s">
        <v>41</v>
      </c>
      <c r="E2" s="1" t="s">
        <v>0</v>
      </c>
      <c r="F2" s="2" t="s">
        <v>1</v>
      </c>
      <c r="G2" s="1" t="s">
        <v>2</v>
      </c>
      <c r="H2" s="2" t="s">
        <v>3</v>
      </c>
    </row>
    <row r="3" spans="1:8" x14ac:dyDescent="0.35">
      <c r="A3" s="9" t="s">
        <v>116</v>
      </c>
      <c r="B3" s="9" t="s">
        <v>180</v>
      </c>
      <c r="C3" s="9" t="s">
        <v>117</v>
      </c>
      <c r="D3" s="9" t="s">
        <v>181</v>
      </c>
      <c r="E3" s="9" t="s">
        <v>201</v>
      </c>
      <c r="F3" s="10">
        <v>304.98841446311235</v>
      </c>
      <c r="G3" s="9" t="s">
        <v>202</v>
      </c>
      <c r="H3" s="10">
        <v>345.23969484228229</v>
      </c>
    </row>
    <row r="4" spans="1:8" x14ac:dyDescent="0.35">
      <c r="A4" s="9" t="s">
        <v>116</v>
      </c>
      <c r="B4" s="9" t="s">
        <v>180</v>
      </c>
      <c r="C4" s="9" t="s">
        <v>118</v>
      </c>
      <c r="D4" s="9" t="s">
        <v>182</v>
      </c>
      <c r="E4" s="13" t="s">
        <v>203</v>
      </c>
      <c r="F4" s="14">
        <v>358.61049799911336</v>
      </c>
      <c r="G4" s="13" t="s">
        <v>204</v>
      </c>
      <c r="H4" s="14">
        <v>395.03898993534978</v>
      </c>
    </row>
    <row r="5" spans="1:8" x14ac:dyDescent="0.35">
      <c r="A5" s="9" t="s">
        <v>119</v>
      </c>
      <c r="B5" s="9" t="s">
        <v>183</v>
      </c>
      <c r="C5" s="9" t="s">
        <v>118</v>
      </c>
      <c r="D5" s="9" t="s">
        <v>182</v>
      </c>
      <c r="E5" s="13" t="s">
        <v>205</v>
      </c>
      <c r="F5" s="14">
        <v>294.77793870440911</v>
      </c>
      <c r="G5" s="13" t="s">
        <v>206</v>
      </c>
      <c r="H5" s="14">
        <v>331.76228875870078</v>
      </c>
    </row>
    <row r="6" spans="1:8" x14ac:dyDescent="0.35">
      <c r="A6" s="9" t="s">
        <v>119</v>
      </c>
      <c r="B6" s="9" t="s">
        <v>183</v>
      </c>
      <c r="C6" s="9" t="s">
        <v>120</v>
      </c>
      <c r="D6" s="9" t="s">
        <v>184</v>
      </c>
      <c r="E6" s="16" t="s">
        <v>207</v>
      </c>
      <c r="F6" s="14">
        <v>246.65064935180663</v>
      </c>
      <c r="G6" s="16" t="s">
        <v>208</v>
      </c>
      <c r="H6" s="14">
        <v>279.55831125238018</v>
      </c>
    </row>
    <row r="7" spans="1:8" x14ac:dyDescent="0.35">
      <c r="A7" s="9" t="s">
        <v>121</v>
      </c>
      <c r="B7" s="9" t="s">
        <v>185</v>
      </c>
      <c r="C7" s="9" t="s">
        <v>120</v>
      </c>
      <c r="D7" s="9" t="s">
        <v>184</v>
      </c>
      <c r="E7" s="16" t="s">
        <v>209</v>
      </c>
      <c r="F7" s="14">
        <v>96.675135489868609</v>
      </c>
      <c r="G7" s="16" t="s">
        <v>210</v>
      </c>
      <c r="H7" s="14">
        <v>131.70948883008717</v>
      </c>
    </row>
    <row r="8" spans="1:8" x14ac:dyDescent="0.35">
      <c r="A8" s="9" t="s">
        <v>121</v>
      </c>
      <c r="B8" s="9" t="s">
        <v>185</v>
      </c>
      <c r="C8" s="9" t="s">
        <v>122</v>
      </c>
      <c r="D8" s="9" t="s">
        <v>186</v>
      </c>
      <c r="E8" s="13" t="s">
        <v>211</v>
      </c>
      <c r="F8" s="14">
        <v>124.42075129171597</v>
      </c>
      <c r="G8" s="13" t="s">
        <v>212</v>
      </c>
      <c r="H8" s="14">
        <v>163.55159860179464</v>
      </c>
    </row>
    <row r="9" spans="1:8" x14ac:dyDescent="0.35">
      <c r="A9" s="9" t="s">
        <v>123</v>
      </c>
      <c r="B9" s="9" t="s">
        <v>187</v>
      </c>
      <c r="C9" s="9" t="s">
        <v>122</v>
      </c>
      <c r="D9" s="9" t="s">
        <v>186</v>
      </c>
      <c r="E9" s="16" t="s">
        <v>213</v>
      </c>
      <c r="F9" s="14">
        <v>59.412575021944349</v>
      </c>
      <c r="G9" s="16" t="s">
        <v>214</v>
      </c>
      <c r="H9" s="14">
        <v>88.973591639518389</v>
      </c>
    </row>
    <row r="10" spans="1:8" x14ac:dyDescent="0.35">
      <c r="A10" s="9" t="s">
        <v>123</v>
      </c>
      <c r="B10" s="9" t="s">
        <v>187</v>
      </c>
      <c r="C10" s="9" t="s">
        <v>124</v>
      </c>
      <c r="D10" s="9" t="s">
        <v>188</v>
      </c>
      <c r="E10" s="16" t="s">
        <v>215</v>
      </c>
      <c r="F10" s="14">
        <v>178.23772506583308</v>
      </c>
      <c r="G10" s="16" t="s">
        <v>216</v>
      </c>
      <c r="H10" s="14">
        <v>228.26831297679715</v>
      </c>
    </row>
    <row r="11" spans="1:8" x14ac:dyDescent="0.35">
      <c r="A11" s="9" t="s">
        <v>125</v>
      </c>
      <c r="B11" s="9" t="s">
        <v>189</v>
      </c>
      <c r="C11" s="9" t="s">
        <v>124</v>
      </c>
      <c r="D11" s="9" t="s">
        <v>188</v>
      </c>
      <c r="E11" s="9" t="s">
        <v>217</v>
      </c>
      <c r="F11" s="10">
        <v>82.864499365331213</v>
      </c>
      <c r="G11" s="9" t="s">
        <v>218</v>
      </c>
      <c r="H11" s="10">
        <v>118.84284442798106</v>
      </c>
    </row>
    <row r="12" spans="1:8" x14ac:dyDescent="0.35">
      <c r="A12" s="9" t="s">
        <v>125</v>
      </c>
      <c r="B12" s="9" t="s">
        <v>189</v>
      </c>
      <c r="C12" s="9" t="s">
        <v>126</v>
      </c>
      <c r="D12" s="9" t="s">
        <v>190</v>
      </c>
      <c r="E12" s="22" t="s">
        <v>219</v>
      </c>
      <c r="F12" s="10">
        <v>171.53379876510965</v>
      </c>
      <c r="G12" s="22" t="s">
        <v>220</v>
      </c>
      <c r="H12" s="10">
        <v>192.19392200057183</v>
      </c>
    </row>
    <row r="13" spans="1:8" x14ac:dyDescent="0.35">
      <c r="A13" s="9" t="s">
        <v>127</v>
      </c>
      <c r="B13" s="9" t="s">
        <v>191</v>
      </c>
      <c r="C13" s="9" t="s">
        <v>126</v>
      </c>
      <c r="D13" s="9" t="s">
        <v>190</v>
      </c>
      <c r="E13" s="22" t="s">
        <v>221</v>
      </c>
      <c r="F13" s="10">
        <v>73.874336695691824</v>
      </c>
      <c r="G13" s="22" t="s">
        <v>222</v>
      </c>
      <c r="H13" s="10">
        <v>112.99265638183313</v>
      </c>
    </row>
    <row r="14" spans="1:8" x14ac:dyDescent="0.35">
      <c r="A14" s="9" t="s">
        <v>129</v>
      </c>
      <c r="B14" s="9" t="s">
        <v>191</v>
      </c>
      <c r="C14" s="9" t="s">
        <v>128</v>
      </c>
      <c r="D14" s="9" t="s">
        <v>192</v>
      </c>
      <c r="E14" s="9" t="s">
        <v>223</v>
      </c>
      <c r="F14" s="10">
        <v>140.71154606032113</v>
      </c>
      <c r="G14" s="9" t="s">
        <v>224</v>
      </c>
      <c r="H14" s="11">
        <v>197.09901840030156</v>
      </c>
    </row>
    <row r="15" spans="1:8" x14ac:dyDescent="0.35">
      <c r="A15" s="9" t="s">
        <v>129</v>
      </c>
      <c r="B15" s="9" t="s">
        <v>191</v>
      </c>
      <c r="C15" s="9" t="s">
        <v>131</v>
      </c>
      <c r="D15" s="9" t="s">
        <v>194</v>
      </c>
      <c r="E15" s="13" t="s">
        <v>227</v>
      </c>
      <c r="F15" s="14">
        <v>297.57438436506334</v>
      </c>
      <c r="G15" s="13" t="s">
        <v>228</v>
      </c>
      <c r="H15" s="15">
        <v>381.53055645135612</v>
      </c>
    </row>
    <row r="16" spans="1:8" x14ac:dyDescent="0.35">
      <c r="A16" s="9" t="s">
        <v>130</v>
      </c>
      <c r="B16" s="9" t="s">
        <v>193</v>
      </c>
      <c r="C16" s="9" t="s">
        <v>128</v>
      </c>
      <c r="D16" s="9" t="s">
        <v>192</v>
      </c>
      <c r="E16" s="16" t="s">
        <v>225</v>
      </c>
      <c r="F16" s="14">
        <v>116.22110292578628</v>
      </c>
      <c r="G16" s="16" t="s">
        <v>226</v>
      </c>
      <c r="H16" s="15">
        <v>169.00543244427402</v>
      </c>
    </row>
    <row r="17" spans="1:8" x14ac:dyDescent="0.35">
      <c r="A17" s="9" t="s">
        <v>130</v>
      </c>
      <c r="B17" s="9" t="s">
        <v>193</v>
      </c>
      <c r="C17" s="9" t="s">
        <v>131</v>
      </c>
      <c r="D17" s="9" t="s">
        <v>194</v>
      </c>
      <c r="E17" s="16" t="s">
        <v>229</v>
      </c>
      <c r="F17" s="14">
        <v>200.24812332598464</v>
      </c>
      <c r="G17" s="16" t="s">
        <v>230</v>
      </c>
      <c r="H17" s="15">
        <v>269.86965019384922</v>
      </c>
    </row>
    <row r="18" spans="1:8" x14ac:dyDescent="0.35">
      <c r="A18" s="9" t="s">
        <v>130</v>
      </c>
      <c r="B18" s="9" t="s">
        <v>193</v>
      </c>
      <c r="C18" s="9" t="s">
        <v>133</v>
      </c>
      <c r="D18" s="9" t="s">
        <v>196</v>
      </c>
      <c r="E18" s="13" t="s">
        <v>233</v>
      </c>
      <c r="F18" s="14">
        <v>608.04500207691967</v>
      </c>
      <c r="G18" s="13" t="s">
        <v>234</v>
      </c>
      <c r="H18" s="15">
        <v>745.17761123318644</v>
      </c>
    </row>
    <row r="19" spans="1:8" x14ac:dyDescent="0.35">
      <c r="A19" s="9" t="s">
        <v>132</v>
      </c>
      <c r="B19" s="9" t="s">
        <v>195</v>
      </c>
      <c r="C19" s="9" t="s">
        <v>131</v>
      </c>
      <c r="D19" s="9" t="s">
        <v>194</v>
      </c>
      <c r="E19" s="16" t="s">
        <v>231</v>
      </c>
      <c r="F19" s="14">
        <v>166.1165057422848</v>
      </c>
      <c r="G19" s="16" t="s">
        <v>232</v>
      </c>
      <c r="H19" s="15">
        <v>230.70985487139544</v>
      </c>
    </row>
    <row r="20" spans="1:8" x14ac:dyDescent="0.35">
      <c r="A20" s="9" t="s">
        <v>132</v>
      </c>
      <c r="B20" s="9" t="s">
        <v>195</v>
      </c>
      <c r="C20" s="9" t="s">
        <v>133</v>
      </c>
      <c r="D20" s="9" t="s">
        <v>196</v>
      </c>
      <c r="E20" s="16" t="s">
        <v>235</v>
      </c>
      <c r="F20" s="14">
        <v>404.15431284168466</v>
      </c>
      <c r="G20" s="16" t="s">
        <v>236</v>
      </c>
      <c r="H20" s="15">
        <v>511.24936022800239</v>
      </c>
    </row>
    <row r="21" spans="1:8" x14ac:dyDescent="0.35">
      <c r="A21" s="9" t="s">
        <v>134</v>
      </c>
      <c r="B21" s="9" t="s">
        <v>197</v>
      </c>
      <c r="C21" s="9" t="s">
        <v>133</v>
      </c>
      <c r="D21" s="9" t="s">
        <v>196</v>
      </c>
      <c r="E21" s="13" t="s">
        <v>237</v>
      </c>
      <c r="F21" s="14">
        <v>368.58116917474945</v>
      </c>
      <c r="G21" s="13" t="s">
        <v>238</v>
      </c>
      <c r="H21" s="15">
        <v>470.44073141828744</v>
      </c>
    </row>
    <row r="22" spans="1:8" x14ac:dyDescent="0.35">
      <c r="A22" s="9" t="s">
        <v>134</v>
      </c>
      <c r="B22" s="9" t="s">
        <v>197</v>
      </c>
      <c r="C22" s="9" t="s">
        <v>135</v>
      </c>
      <c r="D22" s="9" t="s">
        <v>198</v>
      </c>
      <c r="E22" s="9" t="s">
        <v>239</v>
      </c>
      <c r="F22" s="10">
        <v>3482.6283281190281</v>
      </c>
      <c r="G22" s="9" t="s">
        <v>240</v>
      </c>
      <c r="H22" s="11">
        <v>3626.305817463161</v>
      </c>
    </row>
    <row r="23" spans="1:8" x14ac:dyDescent="0.35">
      <c r="A23" s="9" t="s">
        <v>136</v>
      </c>
      <c r="B23" s="9" t="s">
        <v>199</v>
      </c>
      <c r="C23" s="9" t="s">
        <v>135</v>
      </c>
      <c r="D23" s="9" t="s">
        <v>198</v>
      </c>
      <c r="E23" s="22" t="s">
        <v>241</v>
      </c>
      <c r="F23" s="10">
        <v>2116.3554635312134</v>
      </c>
      <c r="G23" s="22" t="s">
        <v>242</v>
      </c>
      <c r="H23" s="11">
        <v>2390.154999797649</v>
      </c>
    </row>
  </sheetData>
  <sortState xmlns:xlrd2="http://schemas.microsoft.com/office/spreadsheetml/2017/richdata2" ref="A3:H23">
    <sortCondition ref="B3:B23"/>
  </sortState>
  <conditionalFormatting sqref="A3:D23">
    <cfRule type="expression" dxfId="1" priority="2">
      <formula>MOD(ROW(),2)=0</formula>
    </cfRule>
  </conditionalFormatting>
  <conditionalFormatting sqref="E3:H23">
    <cfRule type="expression" dxfId="0" priority="1">
      <formula>MOD(ROW(),2)=0</formula>
    </cfRule>
  </conditionalFormatting>
  <pageMargins left="0.7" right="0.7" top="0.75" bottom="0.75" header="0.3" footer="0.3"/>
  <ignoredErrors>
    <ignoredError sqref="B3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Tees</vt:lpstr>
      <vt:lpstr>Conc. Reducers</vt:lpstr>
      <vt:lpstr>Ecc. Reducers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Perolari</dc:creator>
  <cp:lastModifiedBy>Luigi Perolari</cp:lastModifiedBy>
  <dcterms:created xsi:type="dcterms:W3CDTF">2025-12-03T18:07:53Z</dcterms:created>
  <dcterms:modified xsi:type="dcterms:W3CDTF">2025-12-03T18:46:49Z</dcterms:modified>
</cp:coreProperties>
</file>